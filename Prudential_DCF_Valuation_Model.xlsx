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mayreddy/Desktop/Projects/"/>
    </mc:Choice>
  </mc:AlternateContent>
  <xr:revisionPtr revIDLastSave="0" documentId="8_{8858DAAF-D12C-3B4B-80FF-5E9DDF0F066B}" xr6:coauthVersionLast="47" xr6:coauthVersionMax="47" xr10:uidLastSave="{00000000-0000-0000-0000-000000000000}"/>
  <bookViews>
    <workbookView xWindow="0" yWindow="660" windowWidth="29400" windowHeight="18460" xr2:uid="{03AC87B6-E1C5-7740-92E2-78FF90FFE213}"/>
  </bookViews>
  <sheets>
    <sheet name="Summary" sheetId="1" r:id="rId1"/>
    <sheet name="Assumptions" sheetId="2" r:id="rId2"/>
    <sheet name="Income_Statement" sheetId="3" r:id="rId3"/>
    <sheet name="Balance_Sheet" sheetId="4" r:id="rId4"/>
    <sheet name="Cash_Flow" sheetId="5" r:id="rId5"/>
    <sheet name="DCF" sheetId="6" r:id="rId6"/>
    <sheet name="Sensitivit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1" l="1"/>
  <c r="B18" i="1"/>
  <c r="B17" i="1"/>
  <c r="B16" i="1"/>
  <c r="B15" i="1"/>
  <c r="B14" i="1"/>
  <c r="B10" i="1"/>
  <c r="B9" i="1"/>
  <c r="B8" i="1"/>
  <c r="C26" i="4"/>
  <c r="D26" i="4"/>
  <c r="E26" i="4"/>
  <c r="F26" i="4"/>
  <c r="G26" i="4"/>
  <c r="H26" i="4"/>
  <c r="I26" i="4"/>
  <c r="J26" i="4"/>
  <c r="B26" i="4"/>
  <c r="C24" i="4"/>
  <c r="D24" i="4"/>
  <c r="E24" i="4"/>
  <c r="F24" i="4"/>
  <c r="G24" i="4"/>
  <c r="H24" i="4"/>
  <c r="I24" i="4"/>
  <c r="J24" i="4"/>
  <c r="B24" i="4"/>
  <c r="C20" i="4"/>
  <c r="D20" i="4"/>
  <c r="E20" i="4"/>
  <c r="F20" i="4"/>
  <c r="G20" i="4"/>
  <c r="H20" i="4"/>
  <c r="I20" i="4"/>
  <c r="J20" i="4"/>
  <c r="B20" i="4"/>
  <c r="C19" i="4"/>
  <c r="D19" i="4"/>
  <c r="E19" i="4"/>
  <c r="F19" i="4"/>
  <c r="G19" i="4"/>
  <c r="H19" i="4"/>
  <c r="I19" i="4"/>
  <c r="J19" i="4"/>
  <c r="B19" i="4"/>
  <c r="G22" i="4"/>
  <c r="H22" i="4" s="1"/>
  <c r="I22" i="4" s="1"/>
  <c r="J22" i="4" s="1"/>
  <c r="F22" i="4"/>
  <c r="G18" i="4"/>
  <c r="H18" i="4" s="1"/>
  <c r="I18" i="4" s="1"/>
  <c r="J18" i="4" s="1"/>
  <c r="F18" i="4"/>
  <c r="C14" i="4"/>
  <c r="D14" i="4"/>
  <c r="E14" i="4"/>
  <c r="F14" i="4"/>
  <c r="G14" i="4"/>
  <c r="H14" i="4"/>
  <c r="I14" i="4"/>
  <c r="J14" i="4"/>
  <c r="B14" i="4"/>
  <c r="G12" i="4"/>
  <c r="H12" i="4" s="1"/>
  <c r="I12" i="4" s="1"/>
  <c r="J12" i="4" s="1"/>
  <c r="F12" i="4"/>
  <c r="C10" i="4"/>
  <c r="D10" i="4"/>
  <c r="E10" i="4"/>
  <c r="F10" i="4"/>
  <c r="G10" i="4"/>
  <c r="H10" i="4"/>
  <c r="I10" i="4"/>
  <c r="J10" i="4"/>
  <c r="B10" i="4"/>
  <c r="G9" i="4"/>
  <c r="H9" i="4"/>
  <c r="I9" i="4"/>
  <c r="J9" i="4"/>
  <c r="F9" i="4"/>
  <c r="E9" i="4"/>
  <c r="D9" i="4"/>
  <c r="C9" i="4"/>
  <c r="B9" i="4"/>
  <c r="G8" i="4"/>
  <c r="H8" i="4" s="1"/>
  <c r="I8" i="4" s="1"/>
  <c r="J8" i="4" s="1"/>
  <c r="F8" i="4"/>
  <c r="F10" i="7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F6" i="7"/>
  <c r="E6" i="7"/>
  <c r="D6" i="7"/>
  <c r="C6" i="7"/>
  <c r="B6" i="7"/>
  <c r="B68" i="6"/>
  <c r="B65" i="6"/>
  <c r="B43" i="6"/>
  <c r="F35" i="6"/>
  <c r="E35" i="6"/>
  <c r="D35" i="6"/>
  <c r="C35" i="6"/>
  <c r="B35" i="6"/>
  <c r="B26" i="6"/>
  <c r="B22" i="6"/>
  <c r="B18" i="6"/>
  <c r="B5" i="6"/>
  <c r="B6" i="6"/>
  <c r="C16" i="5"/>
  <c r="D16" i="5"/>
  <c r="E16" i="5"/>
  <c r="F16" i="5"/>
  <c r="G16" i="5"/>
  <c r="H16" i="5"/>
  <c r="I16" i="5"/>
  <c r="J16" i="5"/>
  <c r="B16" i="5"/>
  <c r="G14" i="5"/>
  <c r="H14" i="5"/>
  <c r="I14" i="5"/>
  <c r="J14" i="5"/>
  <c r="F14" i="5"/>
  <c r="C14" i="5"/>
  <c r="D14" i="5"/>
  <c r="E14" i="5"/>
  <c r="B14" i="5"/>
  <c r="C12" i="5"/>
  <c r="D12" i="5"/>
  <c r="E12" i="5"/>
  <c r="F12" i="5"/>
  <c r="G12" i="5"/>
  <c r="H12" i="5"/>
  <c r="I12" i="5"/>
  <c r="J12" i="5"/>
  <c r="B12" i="5"/>
  <c r="G8" i="5"/>
  <c r="H8" i="5"/>
  <c r="I8" i="5"/>
  <c r="J8" i="5"/>
  <c r="F8" i="5"/>
  <c r="E8" i="5"/>
  <c r="D8" i="5"/>
  <c r="C8" i="5"/>
  <c r="B8" i="5"/>
  <c r="C6" i="5"/>
  <c r="D6" i="5"/>
  <c r="E6" i="5"/>
  <c r="F6" i="5"/>
  <c r="G6" i="5"/>
  <c r="H6" i="5"/>
  <c r="I6" i="5"/>
  <c r="J6" i="5"/>
  <c r="B6" i="5"/>
  <c r="C16" i="3"/>
  <c r="D16" i="3"/>
  <c r="E16" i="3"/>
  <c r="F16" i="3"/>
  <c r="G16" i="3"/>
  <c r="H16" i="3"/>
  <c r="I16" i="3"/>
  <c r="J16" i="3"/>
  <c r="B16" i="3"/>
  <c r="C14" i="3"/>
  <c r="D14" i="3"/>
  <c r="E14" i="3"/>
  <c r="F14" i="3"/>
  <c r="G14" i="3"/>
  <c r="H14" i="3"/>
  <c r="I14" i="3"/>
  <c r="J14" i="3"/>
  <c r="B14" i="3"/>
  <c r="C12" i="3"/>
  <c r="D12" i="3"/>
  <c r="E12" i="3"/>
  <c r="F12" i="3"/>
  <c r="G12" i="3"/>
  <c r="H12" i="3"/>
  <c r="I12" i="3"/>
  <c r="J12" i="3"/>
  <c r="B12" i="3"/>
  <c r="G8" i="3"/>
  <c r="H8" i="3"/>
  <c r="I8" i="3"/>
  <c r="J8" i="3"/>
  <c r="F8" i="3"/>
  <c r="E8" i="3"/>
  <c r="D8" i="3"/>
  <c r="C8" i="3"/>
  <c r="B8" i="3"/>
  <c r="G6" i="3"/>
  <c r="H6" i="3" s="1"/>
  <c r="I6" i="3" s="1"/>
  <c r="J6" i="3" s="1"/>
  <c r="F6" i="3"/>
  <c r="E6" i="3"/>
  <c r="D6" i="3"/>
  <c r="C6" i="3"/>
  <c r="B6" i="3"/>
  <c r="E20" i="2"/>
  <c r="D20" i="2"/>
  <c r="C20" i="2"/>
  <c r="B20" i="2"/>
  <c r="E19" i="2"/>
  <c r="D19" i="2"/>
  <c r="C19" i="2"/>
  <c r="B19" i="2"/>
  <c r="B7" i="6" l="1"/>
  <c r="B9" i="6" s="1"/>
  <c r="B44" i="6"/>
  <c r="B23" i="6"/>
  <c r="B25" i="6" s="1"/>
  <c r="B27" i="6" s="1"/>
  <c r="B10" i="6"/>
  <c r="B55" i="6"/>
  <c r="B29" i="6" l="1"/>
  <c r="F36" i="6" l="1"/>
  <c r="F37" i="6" s="1"/>
  <c r="E36" i="6"/>
  <c r="E37" i="6" s="1"/>
  <c r="D36" i="6"/>
  <c r="D37" i="6" s="1"/>
  <c r="C36" i="6"/>
  <c r="C37" i="6" s="1"/>
  <c r="B36" i="6"/>
  <c r="B37" i="6" s="1"/>
  <c r="B39" i="6" s="1"/>
  <c r="B46" i="6"/>
  <c r="B48" i="6" l="1"/>
  <c r="B50" i="6" s="1"/>
  <c r="B54" i="6" s="1"/>
  <c r="B58" i="6" s="1"/>
  <c r="B62" i="6" s="1"/>
</calcChain>
</file>

<file path=xl/sharedStrings.xml><?xml version="1.0" encoding="utf-8"?>
<sst xmlns="http://schemas.openxmlformats.org/spreadsheetml/2006/main" count="167" uniqueCount="129">
  <si>
    <t>PRUDENTIAL PLC - DCF MODEL ASSUMPTIONS</t>
  </si>
  <si>
    <t>All figures in millions (GBP unless stated)</t>
  </si>
  <si>
    <t>Year</t>
  </si>
  <si>
    <t>KEY HISTORICAL FINANCIALS</t>
  </si>
  <si>
    <t>Total Revenue</t>
  </si>
  <si>
    <t>EBIT</t>
  </si>
  <si>
    <t>Net Income</t>
  </si>
  <si>
    <t>Operating Cash Flow</t>
  </si>
  <si>
    <t>Capex</t>
  </si>
  <si>
    <t>Free Cash Flow</t>
  </si>
  <si>
    <t>2026E</t>
  </si>
  <si>
    <t>2027E</t>
  </si>
  <si>
    <t>2028E</t>
  </si>
  <si>
    <t>2029E</t>
  </si>
  <si>
    <t>2030E</t>
  </si>
  <si>
    <t>PROJECTION ASSUMPTIONS</t>
  </si>
  <si>
    <t>Revenue Growth Rate</t>
  </si>
  <si>
    <t>EBIT Margin %</t>
  </si>
  <si>
    <t>Capex % of Revenue</t>
  </si>
  <si>
    <t>Tax Rate</t>
  </si>
  <si>
    <t>Terminal Growth Rate</t>
  </si>
  <si>
    <t>PRUDENTIAL PLC - INCOME STATEMENT</t>
  </si>
  <si>
    <t>All figures in millions GBP</t>
  </si>
  <si>
    <t>Item</t>
  </si>
  <si>
    <t>Revenue</t>
  </si>
  <si>
    <t>Interest Expense</t>
  </si>
  <si>
    <t>Pre-Tax Income</t>
  </si>
  <si>
    <t>Tax</t>
  </si>
  <si>
    <t>PRUDENTIAL PLC - CASH FLOW STATEMENT</t>
  </si>
  <si>
    <t>Depreciation &amp; Amortization</t>
  </si>
  <si>
    <t>Change in Working Capital</t>
  </si>
  <si>
    <t>Capital Expenditures</t>
  </si>
  <si>
    <t>FREE CASH FLOW</t>
  </si>
  <si>
    <t>PRUDENTIAL PLC - DCF VALUATION</t>
  </si>
  <si>
    <t>WACC CALCULATION</t>
  </si>
  <si>
    <t>Market Cap (Equity)</t>
  </si>
  <si>
    <t>Total Debt</t>
  </si>
  <si>
    <t>Total Capital (E + D)</t>
  </si>
  <si>
    <t>Weight of Equity (E/V)</t>
  </si>
  <si>
    <t>Weight of Debt (D/V)</t>
  </si>
  <si>
    <t>COST OF EQUITY CALCULATION</t>
  </si>
  <si>
    <t>Risk-Free Rate</t>
  </si>
  <si>
    <t>Beta</t>
  </si>
  <si>
    <t>Market Risk Premium</t>
  </si>
  <si>
    <t>Cost of Equity</t>
  </si>
  <si>
    <t>COST OF DEBT CALCULATION</t>
  </si>
  <si>
    <t>Cost of Debt (Pre-Tax)</t>
  </si>
  <si>
    <t>Cost of Debt (After-Tax)</t>
  </si>
  <si>
    <t>WEIGHTED AVERAGE COST OF CAPITAL (WACC)</t>
  </si>
  <si>
    <t>DCF VALUATION</t>
  </si>
  <si>
    <t>Discount Factor</t>
  </si>
  <si>
    <t>PV of FCF</t>
  </si>
  <si>
    <t>Sum of PV (5 years)</t>
  </si>
  <si>
    <t>TERMINAL VALUE CALCULATION</t>
  </si>
  <si>
    <t>2030 Free Cash Flow</t>
  </si>
  <si>
    <t>Terminal Value</t>
  </si>
  <si>
    <t>PV of Terminal Value</t>
  </si>
  <si>
    <t>ENTERPRISE VALUE</t>
  </si>
  <si>
    <t>ADJUSTMENTS TO EQUITY VALUE</t>
  </si>
  <si>
    <t>Enterprise Value</t>
  </si>
  <si>
    <t>Less: Total Debt</t>
  </si>
  <si>
    <t>Add: Cash &amp; Equivalents</t>
  </si>
  <si>
    <t>EQUITY VALUE</t>
  </si>
  <si>
    <t>VALUATION PER SHARE</t>
  </si>
  <si>
    <t>Equity Value</t>
  </si>
  <si>
    <t>Shares Outstanding (thousands)</t>
  </si>
  <si>
    <t>Fair Value per Share (£)</t>
  </si>
  <si>
    <t>Current Market Price (£)</t>
  </si>
  <si>
    <t>Upside / (Downside)</t>
  </si>
  <si>
    <t>PRUDENTIAL PLC - SENSITIVITY ANALYSIS</t>
  </si>
  <si>
    <t>Fair Value per Share (£) - Sensitivity to WACC &amp; Terminal Growth</t>
  </si>
  <si>
    <t>WACC ↓ \ Term Growth →</t>
  </si>
  <si>
    <t>KEY INSIGHTS</t>
  </si>
  <si>
    <t>Current Price: £11.35</t>
  </si>
  <si>
    <t>Valuation Range: £23.58 - £36.70</t>
  </si>
  <si>
    <t>Minimum Upside: 108%</t>
  </si>
  <si>
    <t>Maximum Upside: 223%</t>
  </si>
  <si>
    <t>CONCLUSION: Prudential remains significantly undervalued across all reasonable scenarios. Even in the most conservative case (£23.58), the stock offers 108% upside vs current price of £11.35, demonstrating a robust investment thesis with asymmetric risk-reward profile.</t>
  </si>
  <si>
    <t>PRUDENTIAL PLC - BALANCE SHEET</t>
  </si>
  <si>
    <t>ASSETS</t>
  </si>
  <si>
    <t>Cash &amp; Equivalents</t>
  </si>
  <si>
    <t>Other Current Assets</t>
  </si>
  <si>
    <t>Total Current Assets</t>
  </si>
  <si>
    <t>Fixed Assets (Net)</t>
  </si>
  <si>
    <t>TOTAL ASSETS</t>
  </si>
  <si>
    <t>LIABILITIES</t>
  </si>
  <si>
    <t>← Projected (assuming debt is stable/I am holding it constant)</t>
  </si>
  <si>
    <t>Other Liabilities</t>
  </si>
  <si>
    <t>EQUITY</t>
  </si>
  <si>
    <t>Total Equity</t>
  </si>
  <si>
    <t>TOTAL LIABILITIES</t>
  </si>
  <si>
    <t>TOTAL LIABILITIES + EQUITY</t>
  </si>
  <si>
    <t>BALANCE CHECK:</t>
  </si>
  <si>
    <t>PRUDENTIAL PLC - DCF VALUATION SUMMARY</t>
  </si>
  <si>
    <t>Investment Recommendation &amp; Valuation Analysis</t>
  </si>
  <si>
    <t>Prepared: May 2026 | by Vismay Somi Reddy</t>
  </si>
  <si>
    <t>INVESTMENT RECOMMENDATION</t>
  </si>
  <si>
    <t>Rating:</t>
  </si>
  <si>
    <t>STRONG BUY</t>
  </si>
  <si>
    <t>Target Price:</t>
  </si>
  <si>
    <t>Current Price:</t>
  </si>
  <si>
    <t>Upside Potential:</t>
  </si>
  <si>
    <t>Key Valuation Metrics</t>
  </si>
  <si>
    <t>Enterprise Value (£m)</t>
  </si>
  <si>
    <t>Equity Value (£m)</t>
  </si>
  <si>
    <t>WACC</t>
  </si>
  <si>
    <t>VALUATION RANGE (SENSITIVITY ANALYSIS)</t>
  </si>
  <si>
    <t>Bear Case (£)</t>
  </si>
  <si>
    <t>Base Case (£)</t>
  </si>
  <si>
    <t>Bull Case (£)</t>
  </si>
  <si>
    <t>INVESTMENT THESIS</t>
  </si>
  <si>
    <t>1. Prudential trades at £11.35, offering 150% upside to DCF fair value of £28.39</t>
  </si>
  <si>
    <t>2. Strong cash flow generation: 5-year FCF CAGR of 6.3% (£4.6B to £6.2B)</t>
  </si>
  <si>
    <t>3. Robust valuation: Even in bear case (WACC 11.3%, terminal growth 1.5%), fair value of £23.58 implies 108% upside</t>
  </si>
  <si>
    <t>4. Asia-focused growth strategy provides exposure to faster-growing emerging markets</t>
  </si>
  <si>
    <t>5. Conservative capital structure (84.5% equity, 15.5% debt) provides financial stability</t>
  </si>
  <si>
    <t>KEY RISKS</t>
  </si>
  <si>
    <t>1. Regulatory risk: Changes in insurance regulations across Asia markets</t>
  </si>
  <si>
    <t>2. Market risk: Equity market volatility affects investment portfolio returns</t>
  </si>
  <si>
    <t>3. Geographic concentration: Heavy Asia exposure creates regional dependency</t>
  </si>
  <si>
    <t>4. Interest rate risk: Rising rates could pressure valuation multiples</t>
  </si>
  <si>
    <t>5. Execution risk: Growth targets depend on successful market penetration</t>
  </si>
  <si>
    <t>MODEL ASSUMPTIONS</t>
  </si>
  <si>
    <t>Revenue Growth (2026-2030):</t>
  </si>
  <si>
    <t>8.0% → 5.5%</t>
  </si>
  <si>
    <t>EBIT Margin:</t>
  </si>
  <si>
    <t>18.0% - 19.0%</t>
  </si>
  <si>
    <t>Capex % of Revenue:</t>
  </si>
  <si>
    <t>Tax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</si>
</sst>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70" formatCode="0.000"/>
    <numFmt numFmtId="171" formatCode="&quot;£&quot;#,##0.0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002060"/>
      <name val="Aptos Narrow"/>
      <scheme val="minor"/>
    </font>
    <font>
      <sz val="10"/>
      <color theme="1"/>
      <name val="Arial Unicode MS"/>
      <family val="2"/>
    </font>
    <font>
      <b/>
      <sz val="14"/>
      <color theme="1"/>
      <name val="Aptos Narrow"/>
      <scheme val="minor"/>
    </font>
    <font>
      <i/>
      <sz val="12"/>
      <color rgb="FF002060"/>
      <name val="Aptos Narrow"/>
      <scheme val="minor"/>
    </font>
    <font>
      <b/>
      <sz val="12"/>
      <color theme="9"/>
      <name val="Aptos Narrow (Body)"/>
    </font>
    <font>
      <b/>
      <sz val="12"/>
      <color rgb="FF00B0F0"/>
      <name val="Aptos Narrow"/>
      <scheme val="minor"/>
    </font>
    <font>
      <b/>
      <sz val="12"/>
      <color theme="9"/>
      <name val="Aptos Narrow"/>
      <scheme val="minor"/>
    </font>
    <font>
      <b/>
      <sz val="12"/>
      <color theme="7"/>
      <name val="Aptos Narrow"/>
      <scheme val="minor"/>
    </font>
    <font>
      <b/>
      <sz val="12"/>
      <color rgb="FFC00000"/>
      <name val="Aptos Narrow"/>
      <scheme val="minor"/>
    </font>
    <font>
      <i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9" tint="-0.499984740745262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b/>
      <sz val="15"/>
      <color rgb="FF002060"/>
      <name val="Aptos Narrow"/>
      <scheme val="minor"/>
    </font>
    <font>
      <b/>
      <sz val="12"/>
      <color theme="9" tint="-0.499984740745262"/>
      <name val="Aptos Narrow"/>
      <scheme val="minor"/>
    </font>
    <font>
      <b/>
      <sz val="16"/>
      <color rgb="FF00206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10" fontId="0" fillId="0" borderId="0" xfId="0" applyNumberFormat="1"/>
    <xf numFmtId="168" fontId="0" fillId="0" borderId="0" xfId="1" applyNumberFormat="1" applyFont="1"/>
    <xf numFmtId="168" fontId="7" fillId="0" borderId="0" xfId="1" applyNumberFormat="1" applyFont="1"/>
    <xf numFmtId="168" fontId="0" fillId="0" borderId="0" xfId="0" applyNumberFormat="1"/>
    <xf numFmtId="2" fontId="0" fillId="0" borderId="0" xfId="0" applyNumberFormat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168" fontId="7" fillId="0" borderId="0" xfId="0" applyNumberFormat="1" applyFont="1"/>
    <xf numFmtId="0" fontId="11" fillId="0" borderId="0" xfId="0" applyFont="1"/>
    <xf numFmtId="0" fontId="12" fillId="0" borderId="0" xfId="0" applyFont="1"/>
    <xf numFmtId="0" fontId="5" fillId="2" borderId="0" xfId="0" applyFont="1" applyFill="1" applyAlignment="1">
      <alignment horizontal="left"/>
    </xf>
    <xf numFmtId="170" fontId="0" fillId="0" borderId="0" xfId="0" applyNumberFormat="1"/>
    <xf numFmtId="0" fontId="13" fillId="0" borderId="0" xfId="0" applyFont="1"/>
    <xf numFmtId="171" fontId="0" fillId="0" borderId="0" xfId="0" applyNumberFormat="1"/>
    <xf numFmtId="0" fontId="14" fillId="0" borderId="0" xfId="0" applyFont="1"/>
    <xf numFmtId="0" fontId="15" fillId="0" borderId="0" xfId="0" applyFont="1"/>
    <xf numFmtId="168" fontId="3" fillId="0" borderId="0" xfId="0" applyNumberFormat="1" applyFont="1" applyAlignment="1">
      <alignment horizontal="right"/>
    </xf>
    <xf numFmtId="168" fontId="3" fillId="0" borderId="0" xfId="0" applyNumberFormat="1" applyFont="1"/>
    <xf numFmtId="0" fontId="0" fillId="3" borderId="3" xfId="0" applyFill="1" applyBorder="1"/>
    <xf numFmtId="0" fontId="0" fillId="3" borderId="4" xfId="0" applyFill="1" applyBorder="1"/>
    <xf numFmtId="0" fontId="16" fillId="3" borderId="1" xfId="0" applyFont="1" applyFill="1" applyBorder="1"/>
    <xf numFmtId="0" fontId="17" fillId="3" borderId="2" xfId="0" applyFont="1" applyFill="1" applyBorder="1"/>
    <xf numFmtId="0" fontId="16" fillId="3" borderId="3" xfId="0" applyFont="1" applyFill="1" applyBorder="1"/>
    <xf numFmtId="0" fontId="18" fillId="3" borderId="4" xfId="0" applyFont="1" applyFill="1" applyBorder="1" applyAlignment="1">
      <alignment horizontal="center"/>
    </xf>
    <xf numFmtId="171" fontId="17" fillId="3" borderId="4" xfId="0" applyNumberFormat="1" applyFont="1" applyFill="1" applyBorder="1"/>
    <xf numFmtId="0" fontId="16" fillId="3" borderId="5" xfId="0" applyFont="1" applyFill="1" applyBorder="1"/>
    <xf numFmtId="168" fontId="17" fillId="3" borderId="6" xfId="0" applyNumberFormat="1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3" fillId="0" borderId="7" xfId="0" applyFont="1" applyBorder="1"/>
    <xf numFmtId="10" fontId="5" fillId="2" borderId="7" xfId="0" applyNumberFormat="1" applyFont="1" applyFill="1" applyBorder="1"/>
    <xf numFmtId="10" fontId="3" fillId="0" borderId="7" xfId="0" applyNumberFormat="1" applyFont="1" applyBorder="1"/>
    <xf numFmtId="171" fontId="0" fillId="0" borderId="7" xfId="0" applyNumberFormat="1" applyBorder="1"/>
    <xf numFmtId="171" fontId="22" fillId="3" borderId="7" xfId="0" applyNumberFormat="1" applyFont="1" applyFill="1" applyBorder="1"/>
    <xf numFmtId="0" fontId="16" fillId="0" borderId="0" xfId="0" applyFont="1"/>
    <xf numFmtId="0" fontId="23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47FA-20F3-8948-9DD6-5BFAFE2CC33C}">
  <sheetPr>
    <tabColor theme="9"/>
  </sheetPr>
  <dimension ref="A1:D49"/>
  <sheetViews>
    <sheetView showGridLines="0" tabSelected="1" workbookViewId="0">
      <selection activeCell="F68" sqref="F68"/>
    </sheetView>
  </sheetViews>
  <sheetFormatPr baseColWidth="10" defaultRowHeight="16" x14ac:dyDescent="0.2"/>
  <cols>
    <col min="1" max="1" width="25" customWidth="1"/>
    <col min="2" max="2" width="15.33203125" customWidth="1"/>
  </cols>
  <sheetData>
    <row r="1" spans="1:4" ht="27" x14ac:dyDescent="0.35">
      <c r="A1" s="36" t="s">
        <v>93</v>
      </c>
      <c r="B1" s="37"/>
      <c r="C1" s="37"/>
      <c r="D1" s="37"/>
    </row>
    <row r="2" spans="1:4" ht="19" x14ac:dyDescent="0.25">
      <c r="A2" s="24" t="s">
        <v>94</v>
      </c>
    </row>
    <row r="3" spans="1:4" ht="19" x14ac:dyDescent="0.25">
      <c r="A3" s="24" t="s">
        <v>95</v>
      </c>
    </row>
    <row r="4" spans="1:4" ht="17" thickBot="1" x14ac:dyDescent="0.25"/>
    <row r="5" spans="1:4" ht="22" x14ac:dyDescent="0.3">
      <c r="A5" s="29" t="s">
        <v>96</v>
      </c>
      <c r="B5" s="30"/>
    </row>
    <row r="6" spans="1:4" x14ac:dyDescent="0.2">
      <c r="A6" s="27"/>
      <c r="B6" s="28"/>
    </row>
    <row r="7" spans="1:4" ht="22" x14ac:dyDescent="0.3">
      <c r="A7" s="31" t="s">
        <v>97</v>
      </c>
      <c r="B7" s="32" t="s">
        <v>98</v>
      </c>
    </row>
    <row r="8" spans="1:4" ht="22" x14ac:dyDescent="0.3">
      <c r="A8" s="31" t="s">
        <v>99</v>
      </c>
      <c r="B8" s="33">
        <f>DCF!B65</f>
        <v>28.387185805062281</v>
      </c>
    </row>
    <row r="9" spans="1:4" ht="22" x14ac:dyDescent="0.3">
      <c r="A9" s="31" t="s">
        <v>100</v>
      </c>
      <c r="B9" s="33">
        <f>DCF!B67</f>
        <v>11.35</v>
      </c>
    </row>
    <row r="10" spans="1:4" ht="23" thickBot="1" x14ac:dyDescent="0.35">
      <c r="A10" s="34" t="s">
        <v>101</v>
      </c>
      <c r="B10" s="35">
        <f>DCF!B68</f>
        <v>1.5010736392125357</v>
      </c>
    </row>
    <row r="12" spans="1:4" ht="20" x14ac:dyDescent="0.25">
      <c r="A12" s="38" t="s">
        <v>102</v>
      </c>
    </row>
    <row r="14" spans="1:4" x14ac:dyDescent="0.2">
      <c r="A14" s="3" t="s">
        <v>103</v>
      </c>
      <c r="B14" s="11">
        <f>DCF!B50</f>
        <v>69447.390759516056</v>
      </c>
    </row>
    <row r="15" spans="1:4" x14ac:dyDescent="0.2">
      <c r="A15" s="3" t="s">
        <v>104</v>
      </c>
      <c r="B15" s="11">
        <f>DCF!B58</f>
        <v>71865.390759516056</v>
      </c>
    </row>
    <row r="16" spans="1:4" x14ac:dyDescent="0.2">
      <c r="A16" s="3" t="s">
        <v>66</v>
      </c>
      <c r="B16" s="22">
        <f>DCF!B65</f>
        <v>28.387185805062281</v>
      </c>
    </row>
    <row r="17" spans="1:2" x14ac:dyDescent="0.2">
      <c r="A17" s="3" t="s">
        <v>105</v>
      </c>
      <c r="B17" s="9">
        <f>DCF!B29</f>
        <v>0.10311178727268419</v>
      </c>
    </row>
    <row r="18" spans="1:2" x14ac:dyDescent="0.2">
      <c r="A18" s="3" t="s">
        <v>20</v>
      </c>
      <c r="B18" s="9">
        <f>Assumptions!B23</f>
        <v>2.5000000000000001E-2</v>
      </c>
    </row>
    <row r="20" spans="1:2" ht="20" x14ac:dyDescent="0.25">
      <c r="A20" s="38" t="s">
        <v>106</v>
      </c>
    </row>
    <row r="22" spans="1:2" x14ac:dyDescent="0.2">
      <c r="A22" s="3" t="s">
        <v>107</v>
      </c>
      <c r="B22" s="22">
        <v>23.58</v>
      </c>
    </row>
    <row r="23" spans="1:2" x14ac:dyDescent="0.2">
      <c r="A23" s="3" t="s">
        <v>108</v>
      </c>
      <c r="B23" s="22">
        <f>DCF!B65</f>
        <v>28.387185805062281</v>
      </c>
    </row>
    <row r="24" spans="1:2" x14ac:dyDescent="0.2">
      <c r="A24" s="3" t="s">
        <v>109</v>
      </c>
      <c r="B24" s="22">
        <v>36.700000000000003</v>
      </c>
    </row>
    <row r="26" spans="1:2" ht="20" x14ac:dyDescent="0.25">
      <c r="A26" s="38" t="s">
        <v>110</v>
      </c>
    </row>
    <row r="28" spans="1:2" x14ac:dyDescent="0.2">
      <c r="A28" s="3" t="s">
        <v>111</v>
      </c>
    </row>
    <row r="29" spans="1:2" x14ac:dyDescent="0.2">
      <c r="A29" s="3" t="s">
        <v>112</v>
      </c>
    </row>
    <row r="30" spans="1:2" x14ac:dyDescent="0.2">
      <c r="A30" s="3" t="s">
        <v>113</v>
      </c>
    </row>
    <row r="31" spans="1:2" x14ac:dyDescent="0.2">
      <c r="A31" s="3" t="s">
        <v>114</v>
      </c>
    </row>
    <row r="32" spans="1:2" x14ac:dyDescent="0.2">
      <c r="A32" s="3" t="s">
        <v>115</v>
      </c>
    </row>
    <row r="35" spans="1:2" ht="20" x14ac:dyDescent="0.25">
      <c r="A35" s="38" t="s">
        <v>116</v>
      </c>
    </row>
    <row r="37" spans="1:2" x14ac:dyDescent="0.2">
      <c r="A37" s="3" t="s">
        <v>117</v>
      </c>
    </row>
    <row r="38" spans="1:2" x14ac:dyDescent="0.2">
      <c r="A38" s="3" t="s">
        <v>118</v>
      </c>
    </row>
    <row r="39" spans="1:2" x14ac:dyDescent="0.2">
      <c r="A39" s="3" t="s">
        <v>119</v>
      </c>
    </row>
    <row r="40" spans="1:2" x14ac:dyDescent="0.2">
      <c r="A40" s="3" t="s">
        <v>120</v>
      </c>
    </row>
    <row r="41" spans="1:2" x14ac:dyDescent="0.2">
      <c r="A41" s="3" t="s">
        <v>121</v>
      </c>
    </row>
    <row r="44" spans="1:2" ht="20" x14ac:dyDescent="0.25">
      <c r="A44" s="38" t="s">
        <v>122</v>
      </c>
    </row>
    <row r="46" spans="1:2" x14ac:dyDescent="0.2">
      <c r="A46" s="3" t="s">
        <v>123</v>
      </c>
      <c r="B46" s="25" t="s">
        <v>124</v>
      </c>
    </row>
    <row r="47" spans="1:2" x14ac:dyDescent="0.2">
      <c r="A47" s="3" t="s">
        <v>125</v>
      </c>
      <c r="B47" s="25" t="s">
        <v>126</v>
      </c>
    </row>
    <row r="48" spans="1:2" x14ac:dyDescent="0.2">
      <c r="A48" s="3" t="s">
        <v>127</v>
      </c>
      <c r="B48" s="26">
        <v>5.0000000000000001E-3</v>
      </c>
    </row>
    <row r="49" spans="1:2" x14ac:dyDescent="0.2">
      <c r="A49" s="3" t="s">
        <v>128</v>
      </c>
      <c r="B49" s="2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0171-9861-A24C-A7C4-E18A0D3397C1}">
  <sheetPr>
    <tabColor theme="5"/>
  </sheetPr>
  <dimension ref="A1:J23"/>
  <sheetViews>
    <sheetView showGridLines="0" workbookViewId="0">
      <pane ySplit="1" topLeftCell="A2" activePane="bottomLeft" state="frozen"/>
      <selection pane="bottomLeft" activeCell="C39" sqref="C39"/>
    </sheetView>
  </sheetViews>
  <sheetFormatPr baseColWidth="10" defaultRowHeight="16" x14ac:dyDescent="0.2"/>
  <cols>
    <col min="1" max="1" width="25.5" customWidth="1"/>
  </cols>
  <sheetData>
    <row r="1" spans="1:10" ht="22" x14ac:dyDescent="0.3">
      <c r="A1" s="45" t="s">
        <v>0</v>
      </c>
    </row>
    <row r="2" spans="1:10" x14ac:dyDescent="0.2">
      <c r="A2" s="1" t="s">
        <v>1</v>
      </c>
    </row>
    <row r="4" spans="1:10" x14ac:dyDescent="0.2">
      <c r="A4" s="2" t="s">
        <v>2</v>
      </c>
      <c r="B4" s="2">
        <v>2022</v>
      </c>
      <c r="C4" s="2">
        <v>2023</v>
      </c>
      <c r="D4" s="2">
        <v>2024</v>
      </c>
      <c r="E4" s="2">
        <v>2025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6" spans="1:10" x14ac:dyDescent="0.2">
      <c r="A6" s="3" t="s">
        <v>3</v>
      </c>
    </row>
    <row r="8" spans="1:10" x14ac:dyDescent="0.2">
      <c r="A8" s="3" t="s">
        <v>4</v>
      </c>
      <c r="B8">
        <v>-21220</v>
      </c>
      <c r="C8">
        <v>19148</v>
      </c>
      <c r="D8">
        <v>16211</v>
      </c>
      <c r="E8">
        <v>27393</v>
      </c>
    </row>
    <row r="9" spans="1:10" x14ac:dyDescent="0.2">
      <c r="A9" s="3" t="s">
        <v>5</v>
      </c>
      <c r="B9">
        <v>-443</v>
      </c>
      <c r="C9">
        <v>2269</v>
      </c>
      <c r="D9">
        <v>3124</v>
      </c>
      <c r="E9">
        <v>5124</v>
      </c>
    </row>
    <row r="10" spans="1:10" x14ac:dyDescent="0.2">
      <c r="A10" s="3" t="s">
        <v>6</v>
      </c>
      <c r="B10">
        <v>-1007</v>
      </c>
      <c r="C10">
        <v>1701</v>
      </c>
      <c r="D10">
        <v>2285</v>
      </c>
      <c r="E10">
        <v>3978</v>
      </c>
    </row>
    <row r="11" spans="1:10" x14ac:dyDescent="0.2">
      <c r="A11" s="3" t="s">
        <v>7</v>
      </c>
      <c r="B11">
        <v>1078</v>
      </c>
      <c r="C11">
        <v>832</v>
      </c>
      <c r="D11">
        <v>3609</v>
      </c>
      <c r="E11">
        <v>2450</v>
      </c>
    </row>
    <row r="12" spans="1:10" x14ac:dyDescent="0.2">
      <c r="A12" s="3" t="s">
        <v>8</v>
      </c>
      <c r="B12">
        <v>-34</v>
      </c>
      <c r="C12">
        <v>-44</v>
      </c>
      <c r="D12">
        <v>-101</v>
      </c>
      <c r="E12">
        <v>-104</v>
      </c>
    </row>
    <row r="13" spans="1:10" x14ac:dyDescent="0.2">
      <c r="A13" s="3" t="s">
        <v>9</v>
      </c>
      <c r="B13">
        <v>1044</v>
      </c>
      <c r="C13">
        <v>788</v>
      </c>
      <c r="D13">
        <v>3508</v>
      </c>
      <c r="E13">
        <v>2346</v>
      </c>
    </row>
    <row r="14" spans="1:10" ht="17" x14ac:dyDescent="0.25">
      <c r="A14" s="3" t="s">
        <v>36</v>
      </c>
      <c r="B14">
        <v>5076</v>
      </c>
      <c r="C14" s="15">
        <v>4874</v>
      </c>
      <c r="D14">
        <v>4722</v>
      </c>
      <c r="E14">
        <v>5290</v>
      </c>
    </row>
    <row r="16" spans="1:10" x14ac:dyDescent="0.2">
      <c r="A16" s="5" t="s">
        <v>15</v>
      </c>
    </row>
    <row r="18" spans="1:10" ht="17" x14ac:dyDescent="0.25">
      <c r="A18" s="3" t="s">
        <v>16</v>
      </c>
      <c r="F18" s="7">
        <v>0.08</v>
      </c>
      <c r="G18" s="7">
        <v>7.4999999999999997E-2</v>
      </c>
      <c r="H18" s="8">
        <v>6.5000000000000002E-2</v>
      </c>
      <c r="I18" s="7">
        <v>0.06</v>
      </c>
      <c r="J18" s="7">
        <v>5.5E-2</v>
      </c>
    </row>
    <row r="19" spans="1:10" x14ac:dyDescent="0.2">
      <c r="A19" s="3" t="s">
        <v>17</v>
      </c>
      <c r="B19" s="9">
        <f>B9/B8</f>
        <v>2.0876531573986806E-2</v>
      </c>
      <c r="C19" s="9">
        <f>C9/C8</f>
        <v>0.11849801545853353</v>
      </c>
      <c r="D19" s="9">
        <f>D9/D8</f>
        <v>0.19270865461723521</v>
      </c>
      <c r="E19" s="9">
        <f>E9/E8</f>
        <v>0.18705508706603877</v>
      </c>
      <c r="F19" s="9">
        <v>0.18</v>
      </c>
      <c r="G19" s="9">
        <v>0.18</v>
      </c>
      <c r="H19" s="9">
        <v>0.185</v>
      </c>
      <c r="I19" s="9">
        <v>0.185</v>
      </c>
      <c r="J19" s="9">
        <v>0.19</v>
      </c>
    </row>
    <row r="20" spans="1:10" x14ac:dyDescent="0.2">
      <c r="A20" s="3" t="s">
        <v>18</v>
      </c>
      <c r="B20" s="6">
        <f>ABS(B12)/B8</f>
        <v>-1.6022620169651271E-3</v>
      </c>
      <c r="C20" s="6">
        <f>ABS(C12)/C8</f>
        <v>2.2978901190724879E-3</v>
      </c>
      <c r="D20" s="6">
        <f>ABS(D12)/D8</f>
        <v>6.230337425205108E-3</v>
      </c>
      <c r="E20" s="6">
        <f>ABS(E12)/E8</f>
        <v>3.7965903698025045E-3</v>
      </c>
      <c r="F20" s="6">
        <v>5.0000000000000001E-3</v>
      </c>
      <c r="G20" s="6">
        <v>5.0000000000000001E-3</v>
      </c>
      <c r="H20" s="6">
        <v>5.0000000000000001E-3</v>
      </c>
      <c r="I20" s="6">
        <v>5.0000000000000001E-3</v>
      </c>
      <c r="J20" s="6">
        <v>5.0000000000000001E-3</v>
      </c>
    </row>
    <row r="21" spans="1:10" x14ac:dyDescent="0.2">
      <c r="A21" s="3" t="s">
        <v>19</v>
      </c>
      <c r="B21" s="9">
        <v>0.2</v>
      </c>
      <c r="C21" s="9">
        <v>0.2</v>
      </c>
      <c r="D21" s="9">
        <v>0.2</v>
      </c>
      <c r="E21" s="9">
        <v>0.2</v>
      </c>
      <c r="F21" s="9">
        <v>0.2</v>
      </c>
      <c r="G21" s="9">
        <v>0.2</v>
      </c>
      <c r="H21" s="9">
        <v>0.2</v>
      </c>
      <c r="I21" s="9">
        <v>0.2</v>
      </c>
      <c r="J21" s="9">
        <v>0.2</v>
      </c>
    </row>
    <row r="23" spans="1:10" x14ac:dyDescent="0.2">
      <c r="A23" s="3" t="s">
        <v>20</v>
      </c>
      <c r="B23" s="6">
        <v>2.5000000000000001E-2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6090-EAAC-A246-A9A6-13552F717E07}">
  <sheetPr>
    <tabColor theme="7"/>
  </sheetPr>
  <dimension ref="A1:J16"/>
  <sheetViews>
    <sheetView showGridLines="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4.5" customWidth="1"/>
  </cols>
  <sheetData>
    <row r="1" spans="1:10" ht="22" x14ac:dyDescent="0.3">
      <c r="A1" s="45" t="s">
        <v>21</v>
      </c>
    </row>
    <row r="2" spans="1:10" x14ac:dyDescent="0.2">
      <c r="A2" s="1" t="s">
        <v>22</v>
      </c>
    </row>
    <row r="4" spans="1:10" x14ac:dyDescent="0.2">
      <c r="A4" s="2" t="s">
        <v>23</v>
      </c>
      <c r="B4" s="2">
        <v>2022</v>
      </c>
      <c r="C4" s="2">
        <v>2023</v>
      </c>
      <c r="D4" s="2">
        <v>2024</v>
      </c>
      <c r="E4" s="2">
        <v>2025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6" spans="1:10" x14ac:dyDescent="0.2">
      <c r="A6" s="3" t="s">
        <v>24</v>
      </c>
      <c r="B6" s="11">
        <f>Assumptions!B8</f>
        <v>-21220</v>
      </c>
      <c r="C6" s="11">
        <f>Assumptions!C8</f>
        <v>19148</v>
      </c>
      <c r="D6" s="11">
        <f>Assumptions!D8</f>
        <v>16211</v>
      </c>
      <c r="E6" s="11">
        <f>Assumptions!E8</f>
        <v>27393</v>
      </c>
      <c r="F6" s="11">
        <f>E6*(1+Assumptions!F18)</f>
        <v>29584.440000000002</v>
      </c>
      <c r="G6" s="11">
        <f>F6*(1+Assumptions!G18)</f>
        <v>31803.273000000001</v>
      </c>
      <c r="H6" s="11">
        <f>G6*(1+Assumptions!H18)</f>
        <v>33870.485744999998</v>
      </c>
      <c r="I6" s="11">
        <f>H6*(1+Assumptions!I18)</f>
        <v>35902.714889700001</v>
      </c>
      <c r="J6" s="11">
        <f>I6*(1+Assumptions!J18)</f>
        <v>37877.364208633495</v>
      </c>
    </row>
    <row r="8" spans="1:10" x14ac:dyDescent="0.2">
      <c r="A8" s="3" t="s">
        <v>5</v>
      </c>
      <c r="B8" s="11">
        <f>Assumptions!B9</f>
        <v>-443</v>
      </c>
      <c r="C8" s="11">
        <f>Assumptions!C9</f>
        <v>2269</v>
      </c>
      <c r="D8" s="11">
        <f>Assumptions!D9</f>
        <v>3124</v>
      </c>
      <c r="E8" s="11">
        <f>Assumptions!E9</f>
        <v>5124</v>
      </c>
      <c r="F8" s="11">
        <f>F6*Assumptions!F19</f>
        <v>5325.1992</v>
      </c>
      <c r="G8" s="11">
        <f>G6*Assumptions!G19</f>
        <v>5724.58914</v>
      </c>
      <c r="H8" s="11">
        <f>H6*Assumptions!H19</f>
        <v>6266.0398628249995</v>
      </c>
      <c r="I8" s="11">
        <f>I6*Assumptions!I19</f>
        <v>6642.0022545945003</v>
      </c>
      <c r="J8" s="11">
        <f>J6*Assumptions!J19</f>
        <v>7196.699199640364</v>
      </c>
    </row>
    <row r="10" spans="1:10" x14ac:dyDescent="0.2">
      <c r="A10" s="3" t="s">
        <v>25</v>
      </c>
      <c r="B10" s="11">
        <v>183</v>
      </c>
      <c r="C10" s="11">
        <v>183</v>
      </c>
      <c r="D10" s="11">
        <v>183</v>
      </c>
      <c r="E10" s="11">
        <v>183</v>
      </c>
      <c r="F10" s="11">
        <v>183</v>
      </c>
      <c r="G10" s="11">
        <v>183</v>
      </c>
      <c r="H10" s="11">
        <v>183</v>
      </c>
      <c r="I10" s="11">
        <v>183</v>
      </c>
      <c r="J10" s="11">
        <v>183</v>
      </c>
    </row>
    <row r="12" spans="1:10" x14ac:dyDescent="0.2">
      <c r="A12" s="3" t="s">
        <v>26</v>
      </c>
      <c r="B12" s="11">
        <f>B8-B10</f>
        <v>-626</v>
      </c>
      <c r="C12" s="11">
        <f t="shared" ref="C12:J12" si="0">C8-C10</f>
        <v>2086</v>
      </c>
      <c r="D12" s="11">
        <f t="shared" si="0"/>
        <v>2941</v>
      </c>
      <c r="E12" s="11">
        <f t="shared" si="0"/>
        <v>4941</v>
      </c>
      <c r="F12" s="11">
        <f t="shared" si="0"/>
        <v>5142.1992</v>
      </c>
      <c r="G12" s="11">
        <f t="shared" si="0"/>
        <v>5541.58914</v>
      </c>
      <c r="H12" s="11">
        <f t="shared" si="0"/>
        <v>6083.0398628249995</v>
      </c>
      <c r="I12" s="11">
        <f t="shared" si="0"/>
        <v>6459.0022545945003</v>
      </c>
      <c r="J12" s="11">
        <f t="shared" si="0"/>
        <v>7013.699199640364</v>
      </c>
    </row>
    <row r="14" spans="1:10" x14ac:dyDescent="0.2">
      <c r="A14" s="3" t="s">
        <v>27</v>
      </c>
      <c r="B14" s="11">
        <f>B12*Assumptions!B21</f>
        <v>-125.2</v>
      </c>
      <c r="C14" s="11">
        <f>C12*Assumptions!C21</f>
        <v>417.20000000000005</v>
      </c>
      <c r="D14" s="11">
        <f>D12*Assumptions!D21</f>
        <v>588.20000000000005</v>
      </c>
      <c r="E14" s="11">
        <f>E12*Assumptions!E21</f>
        <v>988.2</v>
      </c>
      <c r="F14" s="11">
        <f>F12*Assumptions!F21</f>
        <v>1028.43984</v>
      </c>
      <c r="G14" s="11">
        <f>G12*Assumptions!G21</f>
        <v>1108.317828</v>
      </c>
      <c r="H14" s="11">
        <f>H12*Assumptions!H21</f>
        <v>1216.607972565</v>
      </c>
      <c r="I14" s="11">
        <f>I12*Assumptions!I21</f>
        <v>1291.8004509189002</v>
      </c>
      <c r="J14" s="11">
        <f>J12*Assumptions!J21</f>
        <v>1402.7398399280728</v>
      </c>
    </row>
    <row r="16" spans="1:10" x14ac:dyDescent="0.2">
      <c r="A16" s="3" t="s">
        <v>6</v>
      </c>
      <c r="B16" s="11">
        <f>B12-B14</f>
        <v>-500.8</v>
      </c>
      <c r="C16" s="11">
        <f t="shared" ref="C16:J16" si="1">C12-C14</f>
        <v>1668.8</v>
      </c>
      <c r="D16" s="11">
        <f t="shared" si="1"/>
        <v>2352.8000000000002</v>
      </c>
      <c r="E16" s="11">
        <f t="shared" si="1"/>
        <v>3952.8</v>
      </c>
      <c r="F16" s="11">
        <f t="shared" si="1"/>
        <v>4113.75936</v>
      </c>
      <c r="G16" s="11">
        <f t="shared" si="1"/>
        <v>4433.2713119999999</v>
      </c>
      <c r="H16" s="11">
        <f t="shared" si="1"/>
        <v>4866.4318902599998</v>
      </c>
      <c r="I16" s="11">
        <f t="shared" si="1"/>
        <v>5167.2018036755999</v>
      </c>
      <c r="J16" s="11">
        <f t="shared" si="1"/>
        <v>5610.9593597122912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7E2E-09E4-CC40-94BD-1B327F601B33}">
  <sheetPr>
    <tabColor theme="7"/>
  </sheetPr>
  <dimension ref="A1:L26"/>
  <sheetViews>
    <sheetView showGridLines="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8.83203125" customWidth="1"/>
  </cols>
  <sheetData>
    <row r="1" spans="1:10" ht="22" x14ac:dyDescent="0.3">
      <c r="A1" s="44" t="s">
        <v>78</v>
      </c>
    </row>
    <row r="2" spans="1:10" x14ac:dyDescent="0.2">
      <c r="A2" s="1" t="s">
        <v>22</v>
      </c>
    </row>
    <row r="4" spans="1:10" x14ac:dyDescent="0.2">
      <c r="A4" s="2" t="s">
        <v>23</v>
      </c>
      <c r="B4" s="2">
        <v>2022</v>
      </c>
      <c r="C4" s="2">
        <v>2023</v>
      </c>
      <c r="D4" s="2">
        <v>2024</v>
      </c>
      <c r="E4" s="2">
        <v>2025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6" spans="1:10" x14ac:dyDescent="0.2">
      <c r="A6" s="3" t="s">
        <v>79</v>
      </c>
    </row>
    <row r="8" spans="1:10" x14ac:dyDescent="0.2">
      <c r="A8" s="3" t="s">
        <v>80</v>
      </c>
      <c r="B8" s="11">
        <v>5514</v>
      </c>
      <c r="C8" s="11">
        <v>4751</v>
      </c>
      <c r="D8" s="11">
        <v>5772</v>
      </c>
      <c r="E8" s="11">
        <v>7708</v>
      </c>
      <c r="F8" s="11">
        <f>E8*(1+Assumptions!F18)</f>
        <v>8324.6400000000012</v>
      </c>
      <c r="G8" s="11">
        <f>F8*(1+Assumptions!G18)</f>
        <v>8948.9880000000012</v>
      </c>
      <c r="H8" s="11">
        <f>G8*(1+Assumptions!H18)</f>
        <v>9530.6722200000004</v>
      </c>
      <c r="I8" s="11">
        <f>H8*(1+Assumptions!I18)</f>
        <v>10102.5125532</v>
      </c>
      <c r="J8" s="11">
        <f>I8*(1+Assumptions!J18)</f>
        <v>10658.150743626</v>
      </c>
    </row>
    <row r="9" spans="1:10" x14ac:dyDescent="0.2">
      <c r="A9" s="3" t="s">
        <v>81</v>
      </c>
      <c r="B9" s="11">
        <f>Income_Statement!B6*0.15</f>
        <v>-3183</v>
      </c>
      <c r="C9" s="11">
        <f>Income_Statement!C6*0.15</f>
        <v>2872.2</v>
      </c>
      <c r="D9" s="11">
        <f>Income_Statement!D6*0.15</f>
        <v>2431.65</v>
      </c>
      <c r="E9" s="11">
        <f>Income_Statement!E6*0.15</f>
        <v>4108.95</v>
      </c>
      <c r="F9" s="11">
        <f>Income_Statement!F6*0.15</f>
        <v>4437.6660000000002</v>
      </c>
      <c r="G9" s="11">
        <f>Income_Statement!G6*0.15</f>
        <v>4770.4909500000003</v>
      </c>
      <c r="H9" s="11">
        <f>Income_Statement!H6*0.15</f>
        <v>5080.5728617499999</v>
      </c>
      <c r="I9" s="11">
        <f>Income_Statement!I6*0.15</f>
        <v>5385.4072334550001</v>
      </c>
      <c r="J9" s="11">
        <f>Income_Statement!J6*0.15</f>
        <v>5681.6046312950239</v>
      </c>
    </row>
    <row r="10" spans="1:10" x14ac:dyDescent="0.2">
      <c r="A10" s="21" t="s">
        <v>82</v>
      </c>
      <c r="B10" s="11">
        <f>B8+B9</f>
        <v>2331</v>
      </c>
      <c r="C10" s="11">
        <f t="shared" ref="C10:J10" si="0">C8+C9</f>
        <v>7623.2</v>
      </c>
      <c r="D10" s="11">
        <f t="shared" si="0"/>
        <v>8203.65</v>
      </c>
      <c r="E10" s="11">
        <f t="shared" si="0"/>
        <v>11816.95</v>
      </c>
      <c r="F10" s="11">
        <f t="shared" si="0"/>
        <v>12762.306</v>
      </c>
      <c r="G10" s="11">
        <f t="shared" si="0"/>
        <v>13719.478950000001</v>
      </c>
      <c r="H10" s="11">
        <f t="shared" si="0"/>
        <v>14611.245081749999</v>
      </c>
      <c r="I10" s="11">
        <f t="shared" si="0"/>
        <v>15487.919786655</v>
      </c>
      <c r="J10" s="11">
        <f t="shared" si="0"/>
        <v>16339.755374921024</v>
      </c>
    </row>
    <row r="12" spans="1:10" x14ac:dyDescent="0.2">
      <c r="A12" s="3" t="s">
        <v>83</v>
      </c>
      <c r="B12" s="11">
        <v>11957</v>
      </c>
      <c r="C12" s="11">
        <v>12941</v>
      </c>
      <c r="D12" s="11">
        <v>12820</v>
      </c>
      <c r="E12" s="11">
        <v>15257</v>
      </c>
      <c r="F12" s="11">
        <f>E12+ABS(Cash_Flow!F14)</f>
        <v>15404.922200000001</v>
      </c>
      <c r="G12" s="11">
        <f>F12+ABS(Cash_Flow!G14)</f>
        <v>15563.938565</v>
      </c>
      <c r="H12" s="11">
        <f>G12+ABS(Cash_Flow!H14)</f>
        <v>15733.290993725001</v>
      </c>
      <c r="I12" s="11">
        <f>H12+ABS(Cash_Flow!I14)</f>
        <v>15912.8045681735</v>
      </c>
      <c r="J12" s="11">
        <f>I12+ABS(Cash_Flow!J14)</f>
        <v>16102.191389216669</v>
      </c>
    </row>
    <row r="14" spans="1:10" x14ac:dyDescent="0.2">
      <c r="A14" s="18" t="s">
        <v>84</v>
      </c>
      <c r="B14" s="11">
        <f>B10+B12</f>
        <v>14288</v>
      </c>
      <c r="C14" s="11">
        <f t="shared" ref="C14:J14" si="1">C10+C12</f>
        <v>20564.2</v>
      </c>
      <c r="D14" s="11">
        <f t="shared" si="1"/>
        <v>21023.65</v>
      </c>
      <c r="E14" s="11">
        <f t="shared" si="1"/>
        <v>27073.95</v>
      </c>
      <c r="F14" s="11">
        <f t="shared" si="1"/>
        <v>28167.228200000001</v>
      </c>
      <c r="G14" s="11">
        <f t="shared" si="1"/>
        <v>29283.417515000001</v>
      </c>
      <c r="H14" s="11">
        <f t="shared" si="1"/>
        <v>30344.536075475</v>
      </c>
      <c r="I14" s="11">
        <f t="shared" si="1"/>
        <v>31400.724354828501</v>
      </c>
      <c r="J14" s="11">
        <f t="shared" si="1"/>
        <v>32441.94676413769</v>
      </c>
    </row>
    <row r="16" spans="1:10" x14ac:dyDescent="0.2">
      <c r="A16" s="3" t="s">
        <v>85</v>
      </c>
    </row>
    <row r="18" spans="1:12" x14ac:dyDescent="0.2">
      <c r="A18" s="3" t="s">
        <v>36</v>
      </c>
      <c r="B18" s="11">
        <v>5076</v>
      </c>
      <c r="C18" s="11">
        <v>4874</v>
      </c>
      <c r="D18" s="11">
        <v>4722</v>
      </c>
      <c r="E18" s="11">
        <v>5290</v>
      </c>
      <c r="F18" s="11">
        <f>E18</f>
        <v>5290</v>
      </c>
      <c r="G18" s="11">
        <f t="shared" ref="G18:J18" si="2">F18</f>
        <v>5290</v>
      </c>
      <c r="H18" s="11">
        <f t="shared" si="2"/>
        <v>5290</v>
      </c>
      <c r="I18" s="11">
        <f t="shared" si="2"/>
        <v>5290</v>
      </c>
      <c r="J18" s="11">
        <f t="shared" si="2"/>
        <v>5290</v>
      </c>
      <c r="L18" t="s">
        <v>86</v>
      </c>
    </row>
    <row r="19" spans="1:12" x14ac:dyDescent="0.2">
      <c r="A19" s="3" t="s">
        <v>87</v>
      </c>
      <c r="B19" s="11">
        <f>B14-B18-B22</f>
        <v>-7686</v>
      </c>
      <c r="C19" s="11">
        <f t="shared" ref="C19:J19" si="3">C14-C18-C22</f>
        <v>-2292.7999999999993</v>
      </c>
      <c r="D19" s="11">
        <f t="shared" si="3"/>
        <v>-2372.3499999999985</v>
      </c>
      <c r="E19" s="11">
        <f t="shared" si="3"/>
        <v>423.95000000000073</v>
      </c>
      <c r="F19" s="11">
        <f t="shared" si="3"/>
        <v>-2596.5311599999986</v>
      </c>
      <c r="G19" s="11">
        <f t="shared" si="3"/>
        <v>-5913.6131569999998</v>
      </c>
      <c r="H19" s="11">
        <f t="shared" si="3"/>
        <v>-9718.9264867849997</v>
      </c>
      <c r="I19" s="11">
        <f t="shared" si="3"/>
        <v>-13829.940011107097</v>
      </c>
      <c r="J19" s="11">
        <f t="shared" si="3"/>
        <v>-18399.676961510202</v>
      </c>
    </row>
    <row r="20" spans="1:12" x14ac:dyDescent="0.2">
      <c r="A20" s="21" t="s">
        <v>90</v>
      </c>
      <c r="B20" s="11">
        <f>B18+B19</f>
        <v>-2610</v>
      </c>
      <c r="C20" s="11">
        <f t="shared" ref="C20:J20" si="4">C18+C19</f>
        <v>2581.2000000000007</v>
      </c>
      <c r="D20" s="11">
        <f t="shared" si="4"/>
        <v>2349.6500000000015</v>
      </c>
      <c r="E20" s="11">
        <f t="shared" si="4"/>
        <v>5713.9500000000007</v>
      </c>
      <c r="F20" s="11">
        <f t="shared" si="4"/>
        <v>2693.4688400000014</v>
      </c>
      <c r="G20" s="11">
        <f t="shared" si="4"/>
        <v>-623.61315699999977</v>
      </c>
      <c r="H20" s="11">
        <f t="shared" si="4"/>
        <v>-4428.9264867849997</v>
      </c>
      <c r="I20" s="11">
        <f t="shared" si="4"/>
        <v>-8539.9400111070972</v>
      </c>
      <c r="J20" s="11">
        <f t="shared" si="4"/>
        <v>-13109.676961510202</v>
      </c>
    </row>
    <row r="21" spans="1:12" x14ac:dyDescent="0.2">
      <c r="A21" s="3" t="s">
        <v>88</v>
      </c>
    </row>
    <row r="22" spans="1:12" x14ac:dyDescent="0.2">
      <c r="A22" s="3" t="s">
        <v>89</v>
      </c>
      <c r="B22" s="11">
        <v>16898</v>
      </c>
      <c r="C22" s="11">
        <v>17983</v>
      </c>
      <c r="D22" s="11">
        <v>18674</v>
      </c>
      <c r="E22" s="11">
        <v>21360</v>
      </c>
      <c r="F22" s="11">
        <f>E22+Income_Statement!F16</f>
        <v>25473.75936</v>
      </c>
      <c r="G22" s="11">
        <f>F22+Income_Statement!G16</f>
        <v>29907.030672000001</v>
      </c>
      <c r="H22" s="11">
        <f>G22+Income_Statement!H16</f>
        <v>34773.46256226</v>
      </c>
      <c r="I22" s="11">
        <f>H22+Income_Statement!I16</f>
        <v>39940.664365935598</v>
      </c>
      <c r="J22" s="11">
        <f>I22+Income_Statement!J16</f>
        <v>45551.623725647893</v>
      </c>
    </row>
    <row r="24" spans="1:12" x14ac:dyDescent="0.2">
      <c r="A24" s="18" t="s">
        <v>91</v>
      </c>
      <c r="B24" s="11">
        <f>B20+B22</f>
        <v>14288</v>
      </c>
      <c r="C24" s="11">
        <f t="shared" ref="C24:J24" si="5">C20+C22</f>
        <v>20564.2</v>
      </c>
      <c r="D24" s="11">
        <f t="shared" si="5"/>
        <v>21023.65</v>
      </c>
      <c r="E24" s="11">
        <f t="shared" si="5"/>
        <v>27073.95</v>
      </c>
      <c r="F24" s="11">
        <f t="shared" si="5"/>
        <v>28167.228200000001</v>
      </c>
      <c r="G24" s="11">
        <f t="shared" si="5"/>
        <v>29283.417515000001</v>
      </c>
      <c r="H24" s="11">
        <f t="shared" si="5"/>
        <v>30344.536075475</v>
      </c>
      <c r="I24" s="11">
        <f t="shared" si="5"/>
        <v>31400.724354828501</v>
      </c>
      <c r="J24" s="11">
        <f t="shared" si="5"/>
        <v>32441.94676413769</v>
      </c>
    </row>
    <row r="26" spans="1:12" x14ac:dyDescent="0.2">
      <c r="A26" s="23" t="s">
        <v>92</v>
      </c>
      <c r="B26" t="str">
        <f>IF(B14=B24,"BALANCED","ERROR")</f>
        <v>BALANCED</v>
      </c>
      <c r="C26" t="str">
        <f t="shared" ref="C26:J26" si="6">IF(C14=C24,"BALANCED","ERROR")</f>
        <v>BALANCED</v>
      </c>
      <c r="D26" t="str">
        <f t="shared" si="6"/>
        <v>BALANCED</v>
      </c>
      <c r="E26" t="str">
        <f t="shared" si="6"/>
        <v>BALANCED</v>
      </c>
      <c r="F26" t="str">
        <f t="shared" si="6"/>
        <v>BALANCED</v>
      </c>
      <c r="G26" t="str">
        <f t="shared" si="6"/>
        <v>BALANCED</v>
      </c>
      <c r="H26" t="str">
        <f t="shared" si="6"/>
        <v>BALANCED</v>
      </c>
      <c r="I26" t="str">
        <f t="shared" si="6"/>
        <v>BALANCED</v>
      </c>
      <c r="J26" t="str">
        <f t="shared" si="6"/>
        <v>BALANCED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FA45-34F3-F146-BFBD-52673219FFBB}">
  <sheetPr>
    <tabColor theme="7"/>
  </sheetPr>
  <dimension ref="A1:J16"/>
  <sheetViews>
    <sheetView showGridLines="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4" customWidth="1"/>
  </cols>
  <sheetData>
    <row r="1" spans="1:10" ht="22" x14ac:dyDescent="0.3">
      <c r="A1" s="45" t="s">
        <v>28</v>
      </c>
    </row>
    <row r="2" spans="1:10" x14ac:dyDescent="0.2">
      <c r="A2" s="13" t="s">
        <v>22</v>
      </c>
    </row>
    <row r="4" spans="1:10" x14ac:dyDescent="0.2">
      <c r="A4" s="2" t="s">
        <v>23</v>
      </c>
      <c r="B4" s="2">
        <v>2022</v>
      </c>
      <c r="C4" s="2">
        <v>2023</v>
      </c>
      <c r="D4" s="2">
        <v>2024</v>
      </c>
      <c r="E4" s="2">
        <v>2025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6" spans="1:10" x14ac:dyDescent="0.2">
      <c r="A6" s="3" t="s">
        <v>6</v>
      </c>
      <c r="B6" s="11">
        <f>Income_Statement!B16</f>
        <v>-500.8</v>
      </c>
      <c r="C6" s="11">
        <f>Income_Statement!C16</f>
        <v>1668.8</v>
      </c>
      <c r="D6" s="11">
        <f>Income_Statement!D16</f>
        <v>2352.8000000000002</v>
      </c>
      <c r="E6" s="11">
        <f>Income_Statement!E16</f>
        <v>3952.8</v>
      </c>
      <c r="F6" s="11">
        <f>Income_Statement!F16</f>
        <v>4113.75936</v>
      </c>
      <c r="G6" s="11">
        <f>Income_Statement!G16</f>
        <v>4433.2713119999999</v>
      </c>
      <c r="H6" s="11">
        <f>Income_Statement!H16</f>
        <v>4866.4318902599998</v>
      </c>
      <c r="I6" s="11">
        <f>Income_Statement!I16</f>
        <v>5167.2018036755999</v>
      </c>
      <c r="J6" s="11">
        <f>Income_Statement!J16</f>
        <v>5610.9593597122912</v>
      </c>
    </row>
    <row r="8" spans="1:10" x14ac:dyDescent="0.2">
      <c r="A8" s="3" t="s">
        <v>29</v>
      </c>
      <c r="B8" s="11">
        <f>Assumptions!B8*0.02</f>
        <v>-424.40000000000003</v>
      </c>
      <c r="C8" s="11">
        <f>Assumptions!C8*0.02</f>
        <v>382.96000000000004</v>
      </c>
      <c r="D8" s="11">
        <f>Assumptions!D8*0.02</f>
        <v>324.22000000000003</v>
      </c>
      <c r="E8" s="11">
        <f>Assumptions!E8*0.02</f>
        <v>547.86</v>
      </c>
      <c r="F8" s="11">
        <f>Income_Statement!F6*0.02</f>
        <v>591.68880000000001</v>
      </c>
      <c r="G8" s="11">
        <f>Income_Statement!G6*0.02</f>
        <v>636.06546000000003</v>
      </c>
      <c r="H8" s="11">
        <f>Income_Statement!H6*0.02</f>
        <v>677.40971489999993</v>
      </c>
      <c r="I8" s="11">
        <f>Income_Statement!I6*0.02</f>
        <v>718.05429779400004</v>
      </c>
      <c r="J8" s="11">
        <f>Income_Statement!J6*0.02</f>
        <v>757.54728417266995</v>
      </c>
    </row>
    <row r="10" spans="1:10" x14ac:dyDescent="0.2">
      <c r="A10" s="3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2" spans="1:10" x14ac:dyDescent="0.2">
      <c r="A12" s="3" t="s">
        <v>7</v>
      </c>
      <c r="B12" s="11">
        <f>B6+B8-B10</f>
        <v>-925.2</v>
      </c>
      <c r="C12" s="11">
        <f t="shared" ref="C12:J12" si="0">C6+C8-C10</f>
        <v>2051.7600000000002</v>
      </c>
      <c r="D12" s="11">
        <f t="shared" si="0"/>
        <v>2677.0200000000004</v>
      </c>
      <c r="E12" s="11">
        <f t="shared" si="0"/>
        <v>4500.66</v>
      </c>
      <c r="F12" s="11">
        <f t="shared" si="0"/>
        <v>4705.4481599999999</v>
      </c>
      <c r="G12" s="11">
        <f t="shared" si="0"/>
        <v>5069.3367719999997</v>
      </c>
      <c r="H12" s="11">
        <f t="shared" si="0"/>
        <v>5543.8416051599997</v>
      </c>
      <c r="I12" s="11">
        <f t="shared" si="0"/>
        <v>5885.2561014696003</v>
      </c>
      <c r="J12" s="11">
        <f t="shared" si="0"/>
        <v>6368.5066438849608</v>
      </c>
    </row>
    <row r="14" spans="1:10" x14ac:dyDescent="0.2">
      <c r="A14" s="3" t="s">
        <v>31</v>
      </c>
      <c r="B14" s="11">
        <f>Assumptions!B12</f>
        <v>-34</v>
      </c>
      <c r="C14" s="11">
        <f>Assumptions!C12</f>
        <v>-44</v>
      </c>
      <c r="D14" s="11">
        <f>Assumptions!D12</f>
        <v>-101</v>
      </c>
      <c r="E14" s="11">
        <f>Assumptions!E12</f>
        <v>-104</v>
      </c>
      <c r="F14" s="11">
        <f>-Income_Statement!F6*Assumptions!F20</f>
        <v>-147.9222</v>
      </c>
      <c r="G14" s="11">
        <f>-Income_Statement!G6*Assumptions!G20</f>
        <v>-159.01636500000001</v>
      </c>
      <c r="H14" s="11">
        <f>-Income_Statement!H6*Assumptions!H20</f>
        <v>-169.35242872499998</v>
      </c>
      <c r="I14" s="11">
        <f>-Income_Statement!I6*Assumptions!I20</f>
        <v>-179.51357444850001</v>
      </c>
      <c r="J14" s="11">
        <f>-Income_Statement!J6*Assumptions!J20</f>
        <v>-189.38682104316749</v>
      </c>
    </row>
    <row r="16" spans="1:10" x14ac:dyDescent="0.2">
      <c r="A16" s="14" t="s">
        <v>32</v>
      </c>
      <c r="B16" s="11">
        <f>B12+B14</f>
        <v>-959.2</v>
      </c>
      <c r="C16" s="11">
        <f t="shared" ref="C16:J16" si="1">C12+C14</f>
        <v>2007.7600000000002</v>
      </c>
      <c r="D16" s="11">
        <f t="shared" si="1"/>
        <v>2576.0200000000004</v>
      </c>
      <c r="E16" s="11">
        <f t="shared" si="1"/>
        <v>4396.66</v>
      </c>
      <c r="F16" s="11">
        <f t="shared" si="1"/>
        <v>4557.5259599999999</v>
      </c>
      <c r="G16" s="11">
        <f t="shared" si="1"/>
        <v>4910.3204069999992</v>
      </c>
      <c r="H16" s="11">
        <f t="shared" si="1"/>
        <v>5374.4891764349995</v>
      </c>
      <c r="I16" s="11">
        <f t="shared" si="1"/>
        <v>5705.7425270211006</v>
      </c>
      <c r="J16" s="11">
        <f t="shared" si="1"/>
        <v>6179.1198228417934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8360-F3EB-0547-A161-6E472957AABC}">
  <sheetPr>
    <tabColor theme="9"/>
  </sheetPr>
  <dimension ref="A1:F68"/>
  <sheetViews>
    <sheetView showGridLines="0" workbookViewId="0">
      <pane ySplit="1" topLeftCell="A14" activePane="bottomLeft" state="frozen"/>
      <selection pane="bottomLeft" activeCell="G30" sqref="G30"/>
    </sheetView>
  </sheetViews>
  <sheetFormatPr baseColWidth="10" defaultRowHeight="16" x14ac:dyDescent="0.2"/>
  <cols>
    <col min="1" max="1" width="40.33203125" customWidth="1"/>
  </cols>
  <sheetData>
    <row r="1" spans="1:2" ht="22" x14ac:dyDescent="0.3">
      <c r="A1" s="45" t="s">
        <v>33</v>
      </c>
    </row>
    <row r="3" spans="1:2" x14ac:dyDescent="0.2">
      <c r="A3" s="3" t="s">
        <v>34</v>
      </c>
    </row>
    <row r="5" spans="1:2" x14ac:dyDescent="0.2">
      <c r="A5" s="3" t="s">
        <v>35</v>
      </c>
      <c r="B5" s="11">
        <f>(1135/100)*2531.61378</f>
        <v>28733.816403000001</v>
      </c>
    </row>
    <row r="6" spans="1:2" x14ac:dyDescent="0.2">
      <c r="A6" s="3" t="s">
        <v>36</v>
      </c>
      <c r="B6">
        <f>Assumptions!E14</f>
        <v>5290</v>
      </c>
    </row>
    <row r="7" spans="1:2" x14ac:dyDescent="0.2">
      <c r="A7" s="3" t="s">
        <v>37</v>
      </c>
      <c r="B7" s="11">
        <f>B5+B6</f>
        <v>34023.816403000004</v>
      </c>
    </row>
    <row r="9" spans="1:2" ht="17" x14ac:dyDescent="0.25">
      <c r="A9" s="3" t="s">
        <v>38</v>
      </c>
      <c r="B9" s="16">
        <f>B5/B7</f>
        <v>0.84452067524284058</v>
      </c>
    </row>
    <row r="10" spans="1:2" x14ac:dyDescent="0.2">
      <c r="A10" s="3" t="s">
        <v>39</v>
      </c>
      <c r="B10" s="9">
        <f>B6/B7</f>
        <v>0.15547932475715925</v>
      </c>
    </row>
    <row r="12" spans="1:2" x14ac:dyDescent="0.2">
      <c r="A12" s="3" t="s">
        <v>40</v>
      </c>
    </row>
    <row r="14" spans="1:2" x14ac:dyDescent="0.2">
      <c r="A14" s="3" t="s">
        <v>41</v>
      </c>
      <c r="B14" s="9">
        <v>4.4999999999999998E-2</v>
      </c>
    </row>
    <row r="15" spans="1:2" x14ac:dyDescent="0.2">
      <c r="A15" s="3" t="s">
        <v>42</v>
      </c>
      <c r="B15" s="10">
        <v>1.2</v>
      </c>
    </row>
    <row r="16" spans="1:2" x14ac:dyDescent="0.2">
      <c r="A16" s="3" t="s">
        <v>43</v>
      </c>
      <c r="B16" s="9">
        <v>0.06</v>
      </c>
    </row>
    <row r="18" spans="1:2" x14ac:dyDescent="0.2">
      <c r="A18" s="17" t="s">
        <v>44</v>
      </c>
      <c r="B18" s="9">
        <f>B14+(B15*B16)</f>
        <v>0.11699999999999999</v>
      </c>
    </row>
    <row r="20" spans="1:2" x14ac:dyDescent="0.2">
      <c r="A20" s="3" t="s">
        <v>45</v>
      </c>
    </row>
    <row r="22" spans="1:2" x14ac:dyDescent="0.2">
      <c r="A22" s="3" t="s">
        <v>25</v>
      </c>
      <c r="B22" s="11">
        <f>Income_Statement!E10</f>
        <v>183</v>
      </c>
    </row>
    <row r="23" spans="1:2" x14ac:dyDescent="0.2">
      <c r="A23" s="3" t="s">
        <v>36</v>
      </c>
      <c r="B23">
        <f>B6</f>
        <v>5290</v>
      </c>
    </row>
    <row r="25" spans="1:2" x14ac:dyDescent="0.2">
      <c r="A25" s="3" t="s">
        <v>46</v>
      </c>
      <c r="B25" s="9">
        <f>B22/B23</f>
        <v>3.4593572778827977E-2</v>
      </c>
    </row>
    <row r="26" spans="1:2" x14ac:dyDescent="0.2">
      <c r="A26" s="3" t="s">
        <v>19</v>
      </c>
      <c r="B26" s="9">
        <f>Assumptions!B21</f>
        <v>0.2</v>
      </c>
    </row>
    <row r="27" spans="1:2" x14ac:dyDescent="0.2">
      <c r="A27" s="3" t="s">
        <v>47</v>
      </c>
      <c r="B27" s="9">
        <f>B25*(1-B26)</f>
        <v>2.7674858223062385E-2</v>
      </c>
    </row>
    <row r="29" spans="1:2" x14ac:dyDescent="0.2">
      <c r="A29" s="18" t="s">
        <v>48</v>
      </c>
      <c r="B29" s="9">
        <f>(B9*B18)+(B10*B27)</f>
        <v>0.10311178727268419</v>
      </c>
    </row>
    <row r="32" spans="1:2" x14ac:dyDescent="0.2">
      <c r="A32" s="3" t="s">
        <v>49</v>
      </c>
    </row>
    <row r="34" spans="1:6" x14ac:dyDescent="0.2">
      <c r="A34" s="19" t="s">
        <v>2</v>
      </c>
      <c r="B34" s="19" t="s">
        <v>10</v>
      </c>
      <c r="C34" s="19" t="s">
        <v>11</v>
      </c>
      <c r="D34" s="19" t="s">
        <v>12</v>
      </c>
      <c r="E34" s="19" t="s">
        <v>13</v>
      </c>
      <c r="F34" s="19" t="s">
        <v>14</v>
      </c>
    </row>
    <row r="35" spans="1:6" x14ac:dyDescent="0.2">
      <c r="A35" s="3" t="s">
        <v>9</v>
      </c>
      <c r="B35" s="11">
        <f>Cash_Flow!F16</f>
        <v>4557.5259599999999</v>
      </c>
      <c r="C35" s="11">
        <f>Cash_Flow!G16</f>
        <v>4910.3204069999992</v>
      </c>
      <c r="D35" s="11">
        <f>Cash_Flow!H16</f>
        <v>5374.4891764349995</v>
      </c>
      <c r="E35" s="11">
        <f>Cash_Flow!I16</f>
        <v>5705.7425270211006</v>
      </c>
      <c r="F35" s="11">
        <f>Cash_Flow!J16</f>
        <v>6179.1198228417934</v>
      </c>
    </row>
    <row r="36" spans="1:6" x14ac:dyDescent="0.2">
      <c r="A36" s="3" t="s">
        <v>50</v>
      </c>
      <c r="B36" s="20">
        <f>1/(1+$B$29)^1</f>
        <v>0.9065264386961035</v>
      </c>
      <c r="C36" s="20">
        <f>1/(1+$B$29)^2</f>
        <v>0.82179018405504023</v>
      </c>
      <c r="D36" s="20">
        <f>1/(1+$B$29)^3</f>
        <v>0.74497452890683102</v>
      </c>
      <c r="E36" s="20">
        <f>1/(1+$B$29)^4</f>
        <v>0.67533910660921703</v>
      </c>
      <c r="F36" s="20">
        <f>1/(1+$B$29)^5</f>
        <v>0.61221275522666163</v>
      </c>
    </row>
    <row r="37" spans="1:6" x14ac:dyDescent="0.2">
      <c r="A37" s="3" t="s">
        <v>51</v>
      </c>
      <c r="B37" s="11">
        <f>B35*B36</f>
        <v>4131.5177777838398</v>
      </c>
      <c r="C37" s="11">
        <f t="shared" ref="C37:F37" si="0">C35*C36</f>
        <v>4035.2531110377495</v>
      </c>
      <c r="D37" s="11">
        <f t="shared" si="0"/>
        <v>4003.857542329526</v>
      </c>
      <c r="E37" s="11">
        <f t="shared" si="0"/>
        <v>3853.3110607406466</v>
      </c>
      <c r="F37" s="11">
        <f t="shared" si="0"/>
        <v>3782.9359716176555</v>
      </c>
    </row>
    <row r="39" spans="1:6" x14ac:dyDescent="0.2">
      <c r="A39" s="3" t="s">
        <v>52</v>
      </c>
      <c r="B39" s="11">
        <f>SUM(B37:F37)</f>
        <v>19806.875463509419</v>
      </c>
    </row>
    <row r="41" spans="1:6" x14ac:dyDescent="0.2">
      <c r="A41" s="3" t="s">
        <v>53</v>
      </c>
    </row>
    <row r="43" spans="1:6" x14ac:dyDescent="0.2">
      <c r="A43" s="3" t="s">
        <v>20</v>
      </c>
      <c r="B43" s="9">
        <f>Assumptions!B23</f>
        <v>2.5000000000000001E-2</v>
      </c>
    </row>
    <row r="44" spans="1:6" x14ac:dyDescent="0.2">
      <c r="A44" s="3" t="s">
        <v>54</v>
      </c>
      <c r="B44" s="11">
        <f>F35</f>
        <v>6179.1198228417934</v>
      </c>
    </row>
    <row r="46" spans="1:6" x14ac:dyDescent="0.2">
      <c r="A46" s="21" t="s">
        <v>55</v>
      </c>
      <c r="B46" s="11">
        <f>B44*(1+B43)/($B$29-B43)</f>
        <v>81083.765197979359</v>
      </c>
    </row>
    <row r="48" spans="1:6" x14ac:dyDescent="0.2">
      <c r="A48" s="18" t="s">
        <v>56</v>
      </c>
      <c r="B48" s="11">
        <f>B46*F36</f>
        <v>49640.515296006641</v>
      </c>
    </row>
    <row r="50" spans="1:2" x14ac:dyDescent="0.2">
      <c r="A50" s="18" t="s">
        <v>57</v>
      </c>
      <c r="B50" s="11">
        <f>B39+B48</f>
        <v>69447.390759516056</v>
      </c>
    </row>
    <row r="52" spans="1:2" x14ac:dyDescent="0.2">
      <c r="A52" s="3" t="s">
        <v>58</v>
      </c>
    </row>
    <row r="54" spans="1:2" x14ac:dyDescent="0.2">
      <c r="A54" s="3" t="s">
        <v>59</v>
      </c>
      <c r="B54" s="11">
        <f>B50</f>
        <v>69447.390759516056</v>
      </c>
    </row>
    <row r="55" spans="1:2" x14ac:dyDescent="0.2">
      <c r="A55" s="3" t="s">
        <v>60</v>
      </c>
      <c r="B55" s="11">
        <f>-B6</f>
        <v>-5290</v>
      </c>
    </row>
    <row r="56" spans="1:2" x14ac:dyDescent="0.2">
      <c r="A56" s="3" t="s">
        <v>61</v>
      </c>
      <c r="B56" s="11">
        <v>7708</v>
      </c>
    </row>
    <row r="58" spans="1:2" x14ac:dyDescent="0.2">
      <c r="A58" s="21" t="s">
        <v>62</v>
      </c>
      <c r="B58" s="11">
        <f>B54+B55+B56</f>
        <v>71865.390759516056</v>
      </c>
    </row>
    <row r="60" spans="1:2" x14ac:dyDescent="0.2">
      <c r="A60" s="3" t="s">
        <v>63</v>
      </c>
    </row>
    <row r="62" spans="1:2" x14ac:dyDescent="0.2">
      <c r="A62" s="3" t="s">
        <v>64</v>
      </c>
      <c r="B62" s="11">
        <f>B58</f>
        <v>71865.390759516056</v>
      </c>
    </row>
    <row r="63" spans="1:2" x14ac:dyDescent="0.2">
      <c r="A63" s="3" t="s">
        <v>65</v>
      </c>
      <c r="B63">
        <v>2531613.7799999998</v>
      </c>
    </row>
    <row r="65" spans="1:2" x14ac:dyDescent="0.2">
      <c r="A65" s="18" t="s">
        <v>66</v>
      </c>
      <c r="B65" s="10">
        <f>B62/B63*1000</f>
        <v>28.387185805062281</v>
      </c>
    </row>
    <row r="67" spans="1:2" x14ac:dyDescent="0.2">
      <c r="A67" s="3" t="s">
        <v>67</v>
      </c>
      <c r="B67">
        <v>11.35</v>
      </c>
    </row>
    <row r="68" spans="1:2" x14ac:dyDescent="0.2">
      <c r="A68" s="3" t="s">
        <v>68</v>
      </c>
      <c r="B68" s="9">
        <f>(B65/B67)-1</f>
        <v>1.5010736392125357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94F1-3177-B64A-9234-39587BF9C249}">
  <sheetPr>
    <tabColor rgb="FFFFFF00"/>
  </sheetPr>
  <dimension ref="A1:F19"/>
  <sheetViews>
    <sheetView showGridLines="0" workbookViewId="0">
      <pane ySplit="1" topLeftCell="A2" activePane="bottomLeft" state="frozen"/>
      <selection pane="bottomLeft" activeCell="D13" sqref="D13"/>
    </sheetView>
  </sheetViews>
  <sheetFormatPr baseColWidth="10" defaultRowHeight="16" x14ac:dyDescent="0.2"/>
  <cols>
    <col min="1" max="1" width="22.1640625" customWidth="1"/>
  </cols>
  <sheetData>
    <row r="1" spans="1:6" ht="22" x14ac:dyDescent="0.3">
      <c r="A1" s="44" t="s">
        <v>69</v>
      </c>
    </row>
    <row r="2" spans="1:6" x14ac:dyDescent="0.2">
      <c r="A2" s="1" t="s">
        <v>70</v>
      </c>
    </row>
    <row r="4" spans="1:6" ht="17" thickBot="1" x14ac:dyDescent="0.25">
      <c r="A4" s="3"/>
    </row>
    <row r="5" spans="1:6" ht="18" thickTop="1" thickBot="1" x14ac:dyDescent="0.25">
      <c r="A5" s="39" t="s">
        <v>71</v>
      </c>
      <c r="B5" s="40">
        <v>1.4999999999999999E-2</v>
      </c>
      <c r="C5" s="40">
        <v>0.02</v>
      </c>
      <c r="D5" s="40">
        <v>2.5000000000000001E-2</v>
      </c>
      <c r="E5" s="40">
        <v>0.03</v>
      </c>
      <c r="F5" s="40">
        <v>3.5000000000000003E-2</v>
      </c>
    </row>
    <row r="6" spans="1:6" ht="18" thickTop="1" thickBot="1" x14ac:dyDescent="0.25">
      <c r="A6" s="41">
        <v>9.2999999999999999E-2</v>
      </c>
      <c r="B6" s="42">
        <f>((DCF!$B$39+(DCF!$B$44*(1+B$5)/($A6-B$5)*(1/(1+$A6)^5)))+DCF!$B$55+DCF!$B$56)/(DCF!$B$63/1000)</f>
        <v>29.139968482673169</v>
      </c>
      <c r="C6" s="42">
        <f>((DCF!$B$39+(DCF!$B$44*(1+C$5)/($A6-C$5)*(1/(1+$A6)^5)))+DCF!$B$55+DCF!$B$56)/(DCF!$B$63/1000)</f>
        <v>30.641730305679644</v>
      </c>
      <c r="D6" s="42">
        <f>((DCF!$B$39+(DCF!$B$44*(1+D$5)/($A6-D$5)*(1/(1+$A6)^5)))+DCF!$B$55+DCF!$B$56)/(DCF!$B$63/1000)</f>
        <v>32.364339455598831</v>
      </c>
      <c r="E6" s="42">
        <f>((DCF!$B$39+(DCF!$B$44*(1+E$5)/($A6-E$5)*(1/(1+$A6)^5)))+DCF!$B$55+DCF!$B$56)/(DCF!$B$63/1000)</f>
        <v>34.36037862931471</v>
      </c>
      <c r="F6" s="42">
        <f>((DCF!$B$39+(DCF!$B$44*(1+F$5)/($A6-F$5)*(1/(1+$A6)^5)))+DCF!$B$55+DCF!$B$56)/(DCF!$B$63/1000)</f>
        <v>36.70056248815402</v>
      </c>
    </row>
    <row r="7" spans="1:6" ht="18" thickTop="1" thickBot="1" x14ac:dyDescent="0.25">
      <c r="A7" s="41">
        <v>9.8000000000000004E-2</v>
      </c>
      <c r="B7" s="42">
        <f>((DCF!$B$39+(DCF!$B$44*(1+B$5)/($A7-B$5)*(1/(1+$A7)^5)))+DCF!$B$55+DCF!$B$56)/(DCF!$B$63/1000)</f>
        <v>27.481683745861321</v>
      </c>
      <c r="C7" s="42">
        <f>((DCF!$B$39+(DCF!$B$44*(1+C$5)/($A7-C$5)*(1/(1+$A7)^5)))+DCF!$B$55+DCF!$B$56)/(DCF!$B$63/1000)</f>
        <v>28.778615473555231</v>
      </c>
      <c r="D7" s="42">
        <f>((DCF!$B$39+(DCF!$B$44*(1+D$5)/($A7-D$5)*(1/(1+$A7)^5)))+DCF!$B$55+DCF!$B$56)/(DCF!$B$63/1000)</f>
        <v>30.253209081755145</v>
      </c>
      <c r="E7" s="42">
        <f>((DCF!$B$39+(DCF!$B$44*(1+E$5)/($A7-E$5)*(1/(1+$A7)^5)))+DCF!$B$55+DCF!$B$56)/(DCF!$B$63/1000)</f>
        <v>31.944654691160935</v>
      </c>
      <c r="F7" s="42">
        <f>((DCF!$B$39+(DCF!$B$44*(1+F$5)/($A7-F$5)*(1/(1+$A7)^5)))+DCF!$B$55+DCF!$B$56)/(DCF!$B$63/1000)</f>
        <v>33.904583730631138</v>
      </c>
    </row>
    <row r="8" spans="1:6" ht="18" thickTop="1" thickBot="1" x14ac:dyDescent="0.25">
      <c r="A8" s="41">
        <v>0.10299999999999999</v>
      </c>
      <c r="B8" s="42">
        <f>((DCF!$B$39+(DCF!$B$44*(1+B$5)/($A8-B$5)*(1/(1+$A8)^5)))+DCF!$B$55+DCF!$B$56)/(DCF!$B$63/1000)</f>
        <v>26.022815327967677</v>
      </c>
      <c r="C8" s="42">
        <f>((DCF!$B$39+(DCF!$B$44*(1+C$5)/($A8-C$5)*(1/(1+$A8)^5)))+DCF!$B$55+DCF!$B$56)/(DCF!$B$63/1000)</f>
        <v>27.151665636584006</v>
      </c>
      <c r="D8" s="43">
        <f>((DCF!$B$39+(DCF!$B$44*(1+D$5)/($A8-D$5)*(1/(1+$A8)^5)))+DCF!$B$55+DCF!$B$56)/(DCF!$B$63/1000)</f>
        <v>28.425240343740874</v>
      </c>
      <c r="E8" s="42">
        <f>((DCF!$B$39+(DCF!$B$44*(1+E$5)/($A8-E$5)*(1/(1+$A8)^5)))+DCF!$B$55+DCF!$B$56)/(DCF!$B$63/1000)</f>
        <v>29.873277339549375</v>
      </c>
      <c r="F8" s="42">
        <f>((DCF!$B$39+(DCF!$B$44*(1+F$5)/($A8-F$5)*(1/(1+$A8)^5)))+DCF!$B$55+DCF!$B$56)/(DCF!$B$63/1000)</f>
        <v>31.534260952388536</v>
      </c>
    </row>
    <row r="9" spans="1:6" ht="18" thickTop="1" thickBot="1" x14ac:dyDescent="0.25">
      <c r="A9" s="41">
        <v>0.108</v>
      </c>
      <c r="B9" s="42">
        <f>((DCF!$B$39+(DCF!$B$44*(1+B$5)/($A9-B$5)*(1/(1+$A9)^5)))+DCF!$B$55+DCF!$B$56)/(DCF!$B$63/1000)</f>
        <v>24.730874217882441</v>
      </c>
      <c r="C9" s="42">
        <f>((DCF!$B$39+(DCF!$B$44*(1+C$5)/($A9-C$5)*(1/(1+$A9)^5)))+DCF!$B$55+DCF!$B$56)/(DCF!$B$63/1000)</f>
        <v>25.720280145800054</v>
      </c>
      <c r="D9" s="42">
        <f>((DCF!$B$39+(DCF!$B$44*(1+D$5)/($A9-D$5)*(1/(1+$A9)^5)))+DCF!$B$55+DCF!$B$56)/(DCF!$B$63/1000)</f>
        <v>26.828891607201715</v>
      </c>
      <c r="E9" s="42">
        <f>((DCF!$B$39+(DCF!$B$44*(1+E$5)/($A9-E$5)*(1/(1+$A9)^5)))+DCF!$B$55+DCF!$B$56)/(DCF!$B$63/1000)</f>
        <v>28.079632743142053</v>
      </c>
      <c r="F9" s="42">
        <f>((DCF!$B$39+(DCF!$B$44*(1+F$5)/($A9-F$5)*(1/(1+$A9)^5)))+DCF!$B$55+DCF!$B$56)/(DCF!$B$63/1000)</f>
        <v>29.501708281265998</v>
      </c>
    </row>
    <row r="10" spans="1:6" ht="18" thickTop="1" thickBot="1" x14ac:dyDescent="0.25">
      <c r="A10" s="41">
        <v>0.113</v>
      </c>
      <c r="B10" s="42">
        <f>((DCF!$B$39+(DCF!$B$44*(1+B$5)/($A10-B$5)*(1/(1+$A10)^5)))+DCF!$B$55+DCF!$B$56)/(DCF!$B$63/1000)</f>
        <v>23.580012802775627</v>
      </c>
      <c r="C10" s="42">
        <f>((DCF!$B$39+(DCF!$B$44*(1+C$5)/($A10-C$5)*(1/(1+$A10)^5)))+DCF!$B$55+DCF!$B$56)/(DCF!$B$63/1000)</f>
        <v>24.452601310226989</v>
      </c>
      <c r="D10" s="42">
        <f>((DCF!$B$39+(DCF!$B$44*(1+D$5)/($A10-D$5)*(1/(1+$A10)^5)))+DCF!$B$55+DCF!$B$56)/(DCF!$B$63/1000)</f>
        <v>25.424347602616006</v>
      </c>
      <c r="E10" s="42">
        <f>((DCF!$B$39+(DCF!$B$44*(1+E$5)/($A10-E$5)*(1/(1+$A10)^5)))+DCF!$B$55+DCF!$B$56)/(DCF!$B$63/1000)</f>
        <v>26.51317176155791</v>
      </c>
      <c r="F10" s="42">
        <f>((DCF!$B$39+(DCF!$B$44*(1+F$5)/($A10-F$5)*(1/(1+$A10)^5)))+DCF!$B$55+DCF!$B$56)/(DCF!$B$63/1000)</f>
        <v>27.741588761389806</v>
      </c>
    </row>
    <row r="11" spans="1:6" ht="17" thickTop="1" x14ac:dyDescent="0.2"/>
    <row r="12" spans="1:6" ht="19" x14ac:dyDescent="0.25">
      <c r="A12" s="12" t="s">
        <v>72</v>
      </c>
    </row>
    <row r="14" spans="1:6" x14ac:dyDescent="0.2">
      <c r="A14" t="s">
        <v>74</v>
      </c>
    </row>
    <row r="15" spans="1:6" x14ac:dyDescent="0.2">
      <c r="A15" t="s">
        <v>73</v>
      </c>
    </row>
    <row r="16" spans="1:6" x14ac:dyDescent="0.2">
      <c r="A16" t="s">
        <v>75</v>
      </c>
    </row>
    <row r="17" spans="1:1" x14ac:dyDescent="0.2">
      <c r="A17" t="s">
        <v>76</v>
      </c>
    </row>
    <row r="19" spans="1:1" x14ac:dyDescent="0.2">
      <c r="A19" s="3" t="s">
        <v>77</v>
      </c>
    </row>
  </sheetData>
  <conditionalFormatting sqref="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Income_Statement</vt:lpstr>
      <vt:lpstr>Balance_Sheet</vt:lpstr>
      <vt:lpstr>Cash_Flow</vt:lpstr>
      <vt:lpstr>DCF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 Somi Reddy</dc:creator>
  <cp:lastModifiedBy>Vismay Somi Reddy</cp:lastModifiedBy>
  <dcterms:created xsi:type="dcterms:W3CDTF">2026-05-08T20:01:29Z</dcterms:created>
  <dcterms:modified xsi:type="dcterms:W3CDTF">2026-05-11T13:43:32Z</dcterms:modified>
</cp:coreProperties>
</file>